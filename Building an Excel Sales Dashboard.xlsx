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ETRAJSINH\Downloads\"/>
    </mc:Choice>
  </mc:AlternateContent>
  <xr:revisionPtr revIDLastSave="0" documentId="13_ncr:1_{F3068A9A-F614-4824-9158-A371C807E7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ilding an Excel Sales Dashboa" sheetId="1" r:id="rId1"/>
    <sheet name="Pivot Table 1" sheetId="2" r:id="rId2"/>
    <sheet name="Dashboard" sheetId="3" r:id="rId3"/>
  </sheets>
  <definedNames>
    <definedName name="Z_95DFCAEE_27C9_4C3E_AC76_45E23CF1B9D7_.wvu.FilterData" localSheetId="1" hidden="1">'Pivot Table 1'!$A$8:$B$14</definedName>
  </definedNames>
  <calcPr calcId="191029"/>
  <customWorkbookViews>
    <customWorkbookView name="Filter 1" guid="{95DFCAEE-27C9-4C3E-AC76-45E23CF1B9D7}" maximized="1" windowWidth="0" windowHeight="0" activeSheetId="0"/>
  </customWorkbookViews>
  <pivotCaches>
    <pivotCache cacheId="5" r:id="rId4"/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  <c r="I2" i="1"/>
  <c r="K9" i="1" l="1"/>
  <c r="J9" i="1"/>
  <c r="J8" i="1"/>
  <c r="K8" i="1"/>
  <c r="J7" i="1"/>
  <c r="K7" i="1" s="1"/>
  <c r="J6" i="1"/>
  <c r="K6" i="1" s="1"/>
  <c r="J5" i="1"/>
  <c r="K5" i="1" s="1"/>
  <c r="J4" i="1"/>
  <c r="K4" i="1" s="1"/>
  <c r="J3" i="1"/>
  <c r="K3" i="1" s="1"/>
  <c r="J2" i="1"/>
  <c r="K2" i="1" s="1"/>
</calcChain>
</file>

<file path=xl/sharedStrings.xml><?xml version="1.0" encoding="utf-8"?>
<sst xmlns="http://schemas.openxmlformats.org/spreadsheetml/2006/main" count="61" uniqueCount="34">
  <si>
    <t>OrderID</t>
  </si>
  <si>
    <t>Date</t>
  </si>
  <si>
    <t>Customer</t>
  </si>
  <si>
    <t>Product</t>
  </si>
  <si>
    <t>Category</t>
  </si>
  <si>
    <t>Quantity</t>
  </si>
  <si>
    <t>Unit_Price</t>
  </si>
  <si>
    <t>Region</t>
  </si>
  <si>
    <t>Total_Revenue</t>
  </si>
  <si>
    <t>Total_cost</t>
  </si>
  <si>
    <t xml:space="preserve"> Profit</t>
  </si>
  <si>
    <t>Build-It Corp</t>
  </si>
  <si>
    <t>PVC 2-Inch</t>
  </si>
  <si>
    <t>Pvc</t>
  </si>
  <si>
    <t>North</t>
  </si>
  <si>
    <t>AquaFlow</t>
  </si>
  <si>
    <t>Copper 1-Inch</t>
  </si>
  <si>
    <t>Metal</t>
  </si>
  <si>
    <t>West</t>
  </si>
  <si>
    <t>Steel Industrial</t>
  </si>
  <si>
    <t>PipeMasters</t>
  </si>
  <si>
    <t>PEX Flexible</t>
  </si>
  <si>
    <t>Polymer</t>
  </si>
  <si>
    <t>South</t>
  </si>
  <si>
    <t>02/14/2024</t>
  </si>
  <si>
    <t>02/15/2024</t>
  </si>
  <si>
    <t>City-Grid</t>
  </si>
  <si>
    <t>East</t>
  </si>
  <si>
    <t>SUM of  Profit</t>
  </si>
  <si>
    <t>Grand Total</t>
  </si>
  <si>
    <t>SUM of Total_Revenue</t>
  </si>
  <si>
    <t>(blank)</t>
  </si>
  <si>
    <t xml:space="preserve"> </t>
  </si>
  <si>
    <t xml:space="preserve"> MILANPIPE CO. - SALES PERFORMANCE DASHBOARD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</si>
</sst>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£-809]#,##0.00"/>
    <numFmt numFmtId="165" formatCode="&quot;₹&quot;\ 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8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right" vertical="center"/>
    </xf>
    <xf numFmtId="0" fontId="3" fillId="2" borderId="1" xfId="0" applyFont="1" applyFill="1" applyBorder="1"/>
    <xf numFmtId="0" fontId="3" fillId="0" borderId="1" xfId="0" applyFont="1" applyBorder="1" applyAlignment="1">
      <alignment horizontal="left" vertical="center"/>
    </xf>
    <xf numFmtId="0" fontId="4" fillId="0" borderId="2" xfId="0" pivotButton="1" applyFont="1" applyBorder="1"/>
    <xf numFmtId="0" fontId="4" fillId="0" borderId="2" xfId="0" applyFont="1" applyBorder="1"/>
    <xf numFmtId="0" fontId="0" fillId="0" borderId="2" xfId="0" applyBorder="1"/>
    <xf numFmtId="0" fontId="0" fillId="0" borderId="2" xfId="0" applyNumberFormat="1" applyBorder="1"/>
    <xf numFmtId="0" fontId="4" fillId="0" borderId="2" xfId="0" applyNumberFormat="1" applyFont="1" applyBorder="1"/>
  </cellXfs>
  <cellStyles count="1">
    <cellStyle name="Normal" xfId="0" builtinId="0"/>
  </cellStyles>
  <dxfs count="4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numFmt numFmtId="165" formatCode="&quot;₹&quot;\ #,##0.00"/>
    </dxf>
    <dxf>
      <border outline="0">
        <right style="thin">
          <color rgb="FF000000"/>
        </right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Building an Excel Sales Dashboa-style" pivot="0" count="4" xr9:uid="{00000000-0011-0000-FFFF-FFFF00000000}">
      <tableStyleElement type="wholeTable" size="0" dxfId="44"/>
      <tableStyleElement type="headerRow" dxfId="43"/>
      <tableStyleElement type="firstRowStripe" dxfId="42"/>
      <tableStyleElement type="secondRowStripe" dxfId="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400" b="1">
                <a:solidFill>
                  <a:srgbClr val="757575"/>
                </a:solidFill>
                <a:latin typeface="+mn-lt"/>
              </a:defRPr>
            </a:pPr>
            <a:r>
              <a:rPr lang="en-IN" sz="2400" b="1">
                <a:solidFill>
                  <a:srgbClr val="757575"/>
                </a:solidFill>
                <a:latin typeface="+mn-lt"/>
              </a:rPr>
              <a:t> Regional Revenue analytics</a:t>
            </a:r>
          </a:p>
        </c:rich>
      </c:tx>
      <c:layout>
        <c:manualLayout>
          <c:xMode val="edge"/>
          <c:yMode val="edge"/>
          <c:x val="2.405940594059406E-2"/>
          <c:y val="0.05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1'!$B$8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1'!$A$9:$A$12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'Pivot Table 1'!$B$9:$B$12</c:f>
              <c:numCache>
                <c:formatCode>General</c:formatCode>
                <c:ptCount val="4"/>
                <c:pt idx="0">
                  <c:v>2640</c:v>
                </c:pt>
                <c:pt idx="1">
                  <c:v>2125</c:v>
                </c:pt>
                <c:pt idx="2">
                  <c:v>1800</c:v>
                </c:pt>
                <c:pt idx="3">
                  <c:v>1260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E6A-43AD-B378-C176C2CAA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4185"/>
        <c:axId val="308983717"/>
      </c:barChart>
      <c:catAx>
        <c:axId val="8064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8983717"/>
        <c:crosses val="autoZero"/>
        <c:auto val="1"/>
        <c:lblAlgn val="ctr"/>
        <c:lblOffset val="100"/>
        <c:noMultiLvlLbl val="1"/>
      </c:catAx>
      <c:valAx>
        <c:axId val="308983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Total_Revenue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641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8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>
                <a:solidFill>
                  <a:srgbClr val="666666"/>
                </a:solidFill>
                <a:latin typeface="+mn-lt"/>
              </a:defRPr>
            </a:pPr>
            <a:r>
              <a:rPr lang="en-IN" sz="1800" b="1">
                <a:solidFill>
                  <a:srgbClr val="666666"/>
                </a:solidFill>
                <a:latin typeface="+mn-lt"/>
              </a:rPr>
              <a:t>Profit Share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SUM of  Profit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202-425C-A67E-1B35BBD94E3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202-425C-A67E-1B35BBD94E3D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202-425C-A67E-1B35BBD94E3D}"/>
              </c:ext>
            </c:extLst>
          </c:dPt>
          <c:cat>
            <c:strRef>
              <c:f>'Pivot Table 1'!$A$2:$A$4</c:f>
              <c:strCache>
                <c:ptCount val="3"/>
                <c:pt idx="0">
                  <c:v>Pvc</c:v>
                </c:pt>
                <c:pt idx="1">
                  <c:v>Polymer</c:v>
                </c:pt>
                <c:pt idx="2">
                  <c:v>Metal</c:v>
                </c:pt>
              </c:strCache>
            </c:strRef>
          </c:cat>
          <c:val>
            <c:numRef>
              <c:f>'Pivot Table 1'!$B$2:$B$4</c:f>
              <c:numCache>
                <c:formatCode>General</c:formatCode>
                <c:ptCount val="3"/>
                <c:pt idx="0">
                  <c:v>384</c:v>
                </c:pt>
                <c:pt idx="1">
                  <c:v>850</c:v>
                </c:pt>
                <c:pt idx="2">
                  <c:v>1896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02-425C-A67E-1B35BBD9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28575</xdr:rowOff>
    </xdr:from>
    <xdr:ext cx="4810125" cy="28860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527685</xdr:colOff>
      <xdr:row>4</xdr:row>
      <xdr:rowOff>36195</xdr:rowOff>
    </xdr:from>
    <xdr:ext cx="4410075" cy="28860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EETRAJSINH" refreshedDate="46136.527371759257" refreshedVersion="8" recordCount="9" xr:uid="{00000000-000A-0000-FFFF-FFFF01000000}">
  <cacheSource type="worksheet">
    <worksheetSource ref="A1:K10" sheet="Building an Excel Sales Dashboa"/>
  </cacheSource>
  <cacheFields count="11">
    <cacheField name="OrderID" numFmtId="0">
      <sharedItems containsString="0" containsBlank="1" containsNumber="1" containsInteger="1" minValue="101" maxValue="108"/>
    </cacheField>
    <cacheField name="Date" numFmtId="0">
      <sharedItems containsDate="1" containsBlank="1" containsMixedTypes="1" minDate="2024-01-03T00:00:00" maxDate="2024-12-02T00:00:00"/>
    </cacheField>
    <cacheField name="Customer" numFmtId="0">
      <sharedItems containsBlank="1"/>
    </cacheField>
    <cacheField name="Product" numFmtId="0">
      <sharedItems containsBlank="1"/>
    </cacheField>
    <cacheField name="Category" numFmtId="0">
      <sharedItems containsBlank="1"/>
    </cacheField>
    <cacheField name="Quantity" numFmtId="0">
      <sharedItems containsString="0" containsBlank="1" containsNumber="1" containsInteger="1" minValue="5" maxValue="150"/>
    </cacheField>
    <cacheField name="Unit_Price" numFmtId="0">
      <sharedItems containsString="0" containsBlank="1" containsNumber="1" minValue="8.5" maxValue="120"/>
    </cacheField>
    <cacheField name="Region" numFmtId="0">
      <sharedItems containsBlank="1" count="5">
        <s v="North"/>
        <s v="West"/>
        <s v="South"/>
        <s v="East"/>
        <m/>
      </sharedItems>
    </cacheField>
    <cacheField name="Total_Revenue" numFmtId="0">
      <sharedItems containsString="0" containsBlank="1" containsNumber="1" containsInteger="1" minValue="360" maxValue="1800"/>
    </cacheField>
    <cacheField name="Total_cost" numFmtId="0">
      <sharedItems containsString="0" containsBlank="1" containsNumber="1" containsInteger="1" minValue="216" maxValue="1080"/>
    </cacheField>
    <cacheField name=" Profit" numFmtId="0">
      <sharedItems containsString="0" containsBlank="1" containsNumber="1" containsInteger="1" minValue="144" maxValue="7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EETRAJSINH" refreshedDate="46136.52737210648" refreshedVersion="8" recordCount="8" xr:uid="{00000000-000A-0000-FFFF-FFFF00000000}">
  <cacheSource type="worksheet">
    <worksheetSource ref="A1:K9" sheet="Building an Excel Sales Dashboa"/>
  </cacheSource>
  <cacheFields count="11">
    <cacheField name="OrderID" numFmtId="0">
      <sharedItems containsSemiMixedTypes="0" containsString="0" containsNumber="1" containsInteger="1" minValue="101" maxValue="108"/>
    </cacheField>
    <cacheField name="Date" numFmtId="0">
      <sharedItems containsDate="1" containsMixedTypes="1" minDate="2024-01-03T00:00:00" maxDate="2024-12-02T00:00:00"/>
    </cacheField>
    <cacheField name="Customer" numFmtId="0">
      <sharedItems/>
    </cacheField>
    <cacheField name="Product" numFmtId="0">
      <sharedItems/>
    </cacheField>
    <cacheField name="Category" numFmtId="0">
      <sharedItems count="3">
        <s v="Pvc"/>
        <s v="Metal"/>
        <s v="Polymer"/>
      </sharedItems>
    </cacheField>
    <cacheField name="Quantity" numFmtId="0">
      <sharedItems containsSemiMixedTypes="0" containsString="0" containsNumber="1" containsInteger="1" minValue="5" maxValue="150"/>
    </cacheField>
    <cacheField name="Unit_Price" numFmtId="0">
      <sharedItems containsSemiMixedTypes="0" containsString="0" containsNumber="1" minValue="8.5" maxValue="120"/>
    </cacheField>
    <cacheField name="Region" numFmtId="0">
      <sharedItems/>
    </cacheField>
    <cacheField name="Total_Revenue" numFmtId="0">
      <sharedItems containsSemiMixedTypes="0" containsString="0" containsNumber="1" containsInteger="1" minValue="360" maxValue="1800"/>
    </cacheField>
    <cacheField name="Total_cost" numFmtId="0">
      <sharedItems containsSemiMixedTypes="0" containsString="0" containsNumber="1" containsInteger="1" minValue="216" maxValue="1080"/>
    </cacheField>
    <cacheField name=" Profit" numFmtId="165">
      <sharedItems containsSemiMixedTypes="0" containsString="0" containsNumber="1" containsInteger="1" minValue="144" maxValue="7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01"/>
    <d v="2024-05-01T00:00:00"/>
    <s v="Build-It Corp"/>
    <s v="PVC 2-Inch"/>
    <s v="Pvc"/>
    <n v="50"/>
    <n v="12"/>
    <x v="0"/>
    <n v="600"/>
    <n v="360"/>
    <n v="240"/>
  </r>
  <r>
    <n v="102"/>
    <d v="2024-06-01T00:00:00"/>
    <s v="AquaFlow"/>
    <s v="Copper 1-Inch"/>
    <s v="Metal"/>
    <n v="20"/>
    <n v="45"/>
    <x v="1"/>
    <n v="900"/>
    <n v="540"/>
    <n v="360"/>
  </r>
  <r>
    <n v="103"/>
    <d v="2024-10-01T00:00:00"/>
    <s v="Build-It Corp"/>
    <s v="Steel Industrial"/>
    <s v="Metal"/>
    <n v="5"/>
    <n v="120"/>
    <x v="0"/>
    <n v="600"/>
    <n v="360"/>
    <n v="240"/>
  </r>
  <r>
    <n v="104"/>
    <d v="2024-12-01T00:00:00"/>
    <s v="PipeMasters"/>
    <s v="PEX Flexible"/>
    <s v="Polymer"/>
    <n v="100"/>
    <n v="8.5"/>
    <x v="2"/>
    <n v="850"/>
    <n v="510"/>
    <n v="340"/>
  </r>
  <r>
    <n v="105"/>
    <s v="02/14/2024"/>
    <s v="AquaFlow"/>
    <s v="PVC 2-Inch"/>
    <s v="Pvc"/>
    <n v="30"/>
    <n v="12"/>
    <x v="1"/>
    <n v="360"/>
    <n v="216"/>
    <n v="144"/>
  </r>
  <r>
    <n v="106"/>
    <s v="02/15/2024"/>
    <s v="Build-It Corp"/>
    <s v="Steel Industrial"/>
    <s v="Metal"/>
    <n v="12"/>
    <n v="120"/>
    <x v="0"/>
    <n v="1440"/>
    <n v="864"/>
    <n v="576"/>
  </r>
  <r>
    <n v="107"/>
    <d v="2024-01-03T00:00:00"/>
    <s v="City-Grid"/>
    <s v="Copper 1-Inch"/>
    <s v="Metal"/>
    <n v="40"/>
    <n v="45"/>
    <x v="3"/>
    <n v="1800"/>
    <n v="1080"/>
    <n v="720"/>
  </r>
  <r>
    <n v="108"/>
    <d v="2024-05-03T00:00:00"/>
    <s v="PipeMasters"/>
    <s v="PEX Flexible"/>
    <s v="Polymer"/>
    <n v="150"/>
    <n v="8.5"/>
    <x v="2"/>
    <n v="1275"/>
    <n v="765"/>
    <n v="510"/>
  </r>
  <r>
    <m/>
    <m/>
    <m/>
    <m/>
    <m/>
    <m/>
    <m/>
    <x v="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01"/>
    <d v="2024-05-01T00:00:00"/>
    <s v="Build-It Corp"/>
    <s v="PVC 2-Inch"/>
    <x v="0"/>
    <n v="50"/>
    <n v="12"/>
    <s v="North"/>
    <n v="600"/>
    <n v="360"/>
    <n v="240"/>
  </r>
  <r>
    <n v="102"/>
    <d v="2024-06-01T00:00:00"/>
    <s v="AquaFlow"/>
    <s v="Copper 1-Inch"/>
    <x v="1"/>
    <n v="20"/>
    <n v="45"/>
    <s v="West"/>
    <n v="900"/>
    <n v="540"/>
    <n v="360"/>
  </r>
  <r>
    <n v="103"/>
    <d v="2024-10-01T00:00:00"/>
    <s v="Build-It Corp"/>
    <s v="Steel Industrial"/>
    <x v="1"/>
    <n v="5"/>
    <n v="120"/>
    <s v="North"/>
    <n v="600"/>
    <n v="360"/>
    <n v="240"/>
  </r>
  <r>
    <n v="104"/>
    <d v="2024-12-01T00:00:00"/>
    <s v="PipeMasters"/>
    <s v="PEX Flexible"/>
    <x v="2"/>
    <n v="100"/>
    <n v="8.5"/>
    <s v="South"/>
    <n v="850"/>
    <n v="510"/>
    <n v="340"/>
  </r>
  <r>
    <n v="105"/>
    <s v="02/14/2024"/>
    <s v="AquaFlow"/>
    <s v="PVC 2-Inch"/>
    <x v="0"/>
    <n v="30"/>
    <n v="12"/>
    <s v="West"/>
    <n v="360"/>
    <n v="216"/>
    <n v="144"/>
  </r>
  <r>
    <n v="106"/>
    <s v="02/15/2024"/>
    <s v="Build-It Corp"/>
    <s v="Steel Industrial"/>
    <x v="1"/>
    <n v="12"/>
    <n v="120"/>
    <s v="North"/>
    <n v="1440"/>
    <n v="864"/>
    <n v="576"/>
  </r>
  <r>
    <n v="107"/>
    <d v="2024-01-03T00:00:00"/>
    <s v="City-Grid"/>
    <s v="Copper 1-Inch"/>
    <x v="1"/>
    <n v="40"/>
    <n v="45"/>
    <s v="East"/>
    <n v="1800"/>
    <n v="1080"/>
    <n v="720"/>
  </r>
  <r>
    <n v="108"/>
    <d v="2024-05-03T00:00:00"/>
    <s v="PipeMasters"/>
    <s v="PEX Flexible"/>
    <x v="2"/>
    <n v="150"/>
    <n v="8.5"/>
    <s v="South"/>
    <n v="1275"/>
    <n v="765"/>
    <n v="5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9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11">
    <pivotField name="OrderID" compact="0" outline="0" multipleItemSelectionAllowed="1" showAll="0"/>
    <pivotField name="Date" compact="0" outline="0" multipleItemSelectionAllowed="1" showAll="0"/>
    <pivotField name="Customer" compact="0" outline="0" multipleItemSelectionAllowed="1" showAll="0"/>
    <pivotField name="Product" compact="0" outline="0" multipleItemSelectionAllowed="1" showAll="0"/>
    <pivotField name="Category" axis="axisRow" compact="0" outline="0" multipleItemSelectionAllowed="1" showAll="0">
      <items count="4">
        <item x="0"/>
        <item x="1"/>
        <item x="2"/>
        <item t="default"/>
      </items>
    </pivotField>
    <pivotField name="Quantity" compact="0" outline="0" multipleItemSelectionAllowed="1" showAll="0"/>
    <pivotField name="Unit_Price" compact="0" outline="0" multipleItemSelectionAllowed="1" showAll="0"/>
    <pivotField name="Region" compact="0" outline="0" multipleItemSelectionAllowed="1" showAll="0"/>
    <pivotField name="Total_Revenue" compact="0" outline="0" multipleItemSelectionAllowed="1" showAll="0"/>
    <pivotField name="Total_cost" compact="0" outline="0" multipleItemSelectionAllowed="1" showAll="0"/>
    <pivotField name=" Profit" dataField="1" compact="0" numFmtId="164" outline="0" multipleItemSelectionAllowed="1" showAll="0"/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 Profit" fld="10" baseField="0"/>
  </dataFields>
  <formats count="10">
    <format dxfId="37">
      <pivotArea field="4" type="button" dataOnly="0" labelOnly="1" outline="0" axis="axisRow" fieldPosition="0"/>
    </format>
    <format dxfId="36">
      <pivotArea dataOnly="0" labelOnly="1" outline="0" axis="axisValues" fieldPosition="0"/>
    </format>
    <format dxfId="34">
      <pivotArea grandRow="1" outline="0" fieldPosition="0"/>
    </format>
    <format dxfId="33">
      <pivotArea dataOnly="0" labelOnly="1" grandRow="1" outline="0" fieldPosition="0"/>
    </format>
    <format dxfId="19">
      <pivotArea type="all" dataOnly="0" outline="0" fieldPosition="0"/>
    </format>
    <format dxfId="12">
      <pivotArea outline="0" fieldPosition="0"/>
    </format>
    <format dxfId="11">
      <pivotArea field="4" type="button" dataOnly="0" labelOnly="1" outline="0" axis="axisRow" fieldPosition="0"/>
    </format>
    <format dxfId="10">
      <pivotArea dataOnly="0" labelOnly="1" outline="0" fieldPosition="0">
        <references count="1">
          <reference field="4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 Table 1 2" cacheId="5" applyNumberFormats="0" applyBorderFormats="0" applyFontFormats="0" applyPatternFormats="0" applyAlignmentFormats="0" applyWidthHeightFormats="0" dataCaption="" updatedVersion="8" compact="0" compactData="0">
  <location ref="A8:B14" firstHeaderRow="1" firstDataRow="1" firstDataCol="1"/>
  <pivotFields count="11">
    <pivotField name="OrderID" compact="0" outline="0" multipleItemSelectionAllowed="1" showAll="0"/>
    <pivotField name="Date" compact="0" outline="0" multipleItemSelectionAllowed="1" showAll="0"/>
    <pivotField name="Customer" compact="0" outline="0" multipleItemSelectionAllowed="1" showAll="0"/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Region" axis="axisRow" compact="0" outline="0" multipleItemSelectionAllowed="1" showAll="0" sortType="descending">
      <items count="6">
        <item x="0"/>
        <item x="1"/>
        <item x="2"/>
        <item x="3"/>
        <item x="4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Total_Revenue" dataField="1" compact="0" outline="0" multipleItemSelectionAllowed="1" showAll="0"/>
    <pivotField name="Total_cost" compact="0" outline="0" multipleItemSelectionAllowed="1" showAll="0"/>
    <pivotField name=" Profit" compact="0" numFmtId="164" outline="0" multipleItemSelectionAllowed="1" showAll="0"/>
  </pivotFields>
  <rowFields count="1">
    <field x="7"/>
  </rowFields>
  <rowItems count="6">
    <i>
      <x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SUM of Total_Revenue" fld="8" baseField="0"/>
  </dataFields>
  <formats count="10">
    <format dxfId="31">
      <pivotArea field="7" type="button" dataOnly="0" labelOnly="1" outline="0" axis="axisRow" fieldPosition="0"/>
    </format>
    <format dxfId="30">
      <pivotArea dataOnly="0" labelOnly="1" outline="0" axis="axisValues" fieldPosition="0"/>
    </format>
    <format dxfId="28">
      <pivotArea grandRow="1" outline="0" fieldPosition="0"/>
    </format>
    <format dxfId="27">
      <pivotArea dataOnly="0" labelOnly="1" grandRow="1" outline="0" fieldPosition="0"/>
    </format>
    <format dxfId="6">
      <pivotArea type="all" dataOnly="0" outline="0" fieldPosition="0"/>
    </format>
    <format dxfId="5">
      <pivotArea outline="0" fieldPosition="0"/>
    </format>
    <format dxfId="4">
      <pivotArea field="7" type="button" dataOnly="0" labelOnly="1" outline="0" axis="axisRow" fieldPosition="0"/>
    </format>
    <format dxfId="3">
      <pivotArea dataOnly="0" labelOnly="1" outline="0" fieldPosition="0">
        <references count="1">
          <reference field="7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K9" headerRowDxfId="38">
  <tableColumns count="10">
    <tableColumn id="1" xr3:uid="{00000000-0010-0000-0000-000001000000}" name="Date"/>
    <tableColumn id="2" xr3:uid="{00000000-0010-0000-0000-000002000000}" name="Customer"/>
    <tableColumn id="3" xr3:uid="{00000000-0010-0000-0000-000003000000}" name="Product"/>
    <tableColumn id="4" xr3:uid="{00000000-0010-0000-0000-000004000000}" name="Category"/>
    <tableColumn id="5" xr3:uid="{00000000-0010-0000-0000-000005000000}" name="Quantity"/>
    <tableColumn id="6" xr3:uid="{00000000-0010-0000-0000-000006000000}" name="Unit_Price"/>
    <tableColumn id="7" xr3:uid="{00000000-0010-0000-0000-000007000000}" name="Region"/>
    <tableColumn id="8" xr3:uid="{00000000-0010-0000-0000-000008000000}" name="Total_Revenue"/>
    <tableColumn id="9" xr3:uid="{00000000-0010-0000-0000-000009000000}" name="Total_cost" dataDxfId="40"/>
    <tableColumn id="10" xr3:uid="{00000000-0010-0000-0000-00000A000000}" name=" Profit" dataDxfId="39"/>
  </tableColumns>
  <tableStyleInfo name="Building an Excel Sales Dashbo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2.6640625" defaultRowHeight="15.75" customHeight="1" x14ac:dyDescent="0.25"/>
  <cols>
    <col min="3" max="3" width="12.77734375" customWidth="1"/>
    <col min="4" max="4" width="13.21875" customWidth="1"/>
    <col min="7" max="7" width="13" customWidth="1"/>
    <col min="11" max="11" width="13.109375" customWidth="1"/>
  </cols>
  <sheetData>
    <row r="1" spans="1:11" ht="22.5" customHeigh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ht="22.5" customHeight="1" x14ac:dyDescent="0.25">
      <c r="A2" s="1">
        <v>101</v>
      </c>
      <c r="B2" s="2">
        <v>45413</v>
      </c>
      <c r="C2" s="3" t="s">
        <v>11</v>
      </c>
      <c r="D2" s="3" t="s">
        <v>12</v>
      </c>
      <c r="E2" s="3" t="s">
        <v>13</v>
      </c>
      <c r="F2" s="3">
        <v>50</v>
      </c>
      <c r="G2" s="3">
        <v>12</v>
      </c>
      <c r="H2" s="3" t="s">
        <v>14</v>
      </c>
      <c r="I2" s="3">
        <f t="shared" ref="I2:I9" si="0">F2*G2</f>
        <v>600</v>
      </c>
      <c r="J2" s="3">
        <f t="shared" ref="J2:J9" si="1">I2*0.6</f>
        <v>360</v>
      </c>
      <c r="K2" s="4">
        <f t="shared" ref="K2:K9" si="2">I2-J2</f>
        <v>240</v>
      </c>
    </row>
    <row r="3" spans="1:11" ht="22.5" customHeight="1" x14ac:dyDescent="0.25">
      <c r="A3" s="1">
        <v>102</v>
      </c>
      <c r="B3" s="2">
        <v>45444</v>
      </c>
      <c r="C3" s="3" t="s">
        <v>15</v>
      </c>
      <c r="D3" s="3" t="s">
        <v>16</v>
      </c>
      <c r="E3" s="3" t="s">
        <v>17</v>
      </c>
      <c r="F3" s="3">
        <v>20</v>
      </c>
      <c r="G3" s="3">
        <v>45</v>
      </c>
      <c r="H3" s="3" t="s">
        <v>18</v>
      </c>
      <c r="I3" s="3">
        <f t="shared" si="0"/>
        <v>900</v>
      </c>
      <c r="J3" s="3">
        <f t="shared" si="1"/>
        <v>540</v>
      </c>
      <c r="K3" s="4">
        <f t="shared" si="2"/>
        <v>360</v>
      </c>
    </row>
    <row r="4" spans="1:11" ht="22.5" customHeight="1" x14ac:dyDescent="0.25">
      <c r="A4" s="1">
        <v>103</v>
      </c>
      <c r="B4" s="2">
        <v>45566</v>
      </c>
      <c r="C4" s="3" t="s">
        <v>11</v>
      </c>
      <c r="D4" s="3" t="s">
        <v>19</v>
      </c>
      <c r="E4" s="3" t="s">
        <v>17</v>
      </c>
      <c r="F4" s="3">
        <v>5</v>
      </c>
      <c r="G4" s="3">
        <v>120</v>
      </c>
      <c r="H4" s="3" t="s">
        <v>14</v>
      </c>
      <c r="I4" s="3">
        <f t="shared" si="0"/>
        <v>600</v>
      </c>
      <c r="J4" s="3">
        <f t="shared" si="1"/>
        <v>360</v>
      </c>
      <c r="K4" s="4">
        <f t="shared" si="2"/>
        <v>240</v>
      </c>
    </row>
    <row r="5" spans="1:11" ht="22.5" customHeight="1" x14ac:dyDescent="0.25">
      <c r="A5" s="1">
        <v>104</v>
      </c>
      <c r="B5" s="2">
        <v>45627</v>
      </c>
      <c r="C5" s="3" t="s">
        <v>20</v>
      </c>
      <c r="D5" s="3" t="s">
        <v>21</v>
      </c>
      <c r="E5" s="3" t="s">
        <v>22</v>
      </c>
      <c r="F5" s="3">
        <v>100</v>
      </c>
      <c r="G5" s="3">
        <v>8.5</v>
      </c>
      <c r="H5" s="3" t="s">
        <v>23</v>
      </c>
      <c r="I5" s="3">
        <f t="shared" si="0"/>
        <v>850</v>
      </c>
      <c r="J5" s="3">
        <f t="shared" si="1"/>
        <v>510</v>
      </c>
      <c r="K5" s="4">
        <f t="shared" si="2"/>
        <v>340</v>
      </c>
    </row>
    <row r="6" spans="1:11" ht="22.5" customHeight="1" x14ac:dyDescent="0.25">
      <c r="A6" s="1">
        <v>105</v>
      </c>
      <c r="B6" s="7" t="s">
        <v>24</v>
      </c>
      <c r="C6" s="3" t="s">
        <v>15</v>
      </c>
      <c r="D6" s="3" t="s">
        <v>12</v>
      </c>
      <c r="E6" s="3" t="s">
        <v>13</v>
      </c>
      <c r="F6" s="3">
        <v>30</v>
      </c>
      <c r="G6" s="3">
        <v>12</v>
      </c>
      <c r="H6" s="3" t="s">
        <v>18</v>
      </c>
      <c r="I6" s="3">
        <f t="shared" si="0"/>
        <v>360</v>
      </c>
      <c r="J6" s="3">
        <f t="shared" si="1"/>
        <v>216</v>
      </c>
      <c r="K6" s="4">
        <f t="shared" si="2"/>
        <v>144</v>
      </c>
    </row>
    <row r="7" spans="1:11" ht="22.5" customHeight="1" x14ac:dyDescent="0.25">
      <c r="A7" s="1">
        <v>106</v>
      </c>
      <c r="B7" s="7" t="s">
        <v>25</v>
      </c>
      <c r="C7" s="3" t="s">
        <v>11</v>
      </c>
      <c r="D7" s="3" t="s">
        <v>19</v>
      </c>
      <c r="E7" s="3" t="s">
        <v>17</v>
      </c>
      <c r="F7" s="3">
        <v>12</v>
      </c>
      <c r="G7" s="3">
        <v>120</v>
      </c>
      <c r="H7" s="3" t="s">
        <v>14</v>
      </c>
      <c r="I7" s="3">
        <f t="shared" si="0"/>
        <v>1440</v>
      </c>
      <c r="J7" s="3">
        <f t="shared" si="1"/>
        <v>864</v>
      </c>
      <c r="K7" s="4">
        <f t="shared" si="2"/>
        <v>576</v>
      </c>
    </row>
    <row r="8" spans="1:11" ht="22.5" customHeight="1" x14ac:dyDescent="0.25">
      <c r="A8" s="1">
        <v>107</v>
      </c>
      <c r="B8" s="2">
        <v>45294</v>
      </c>
      <c r="C8" s="3" t="s">
        <v>26</v>
      </c>
      <c r="D8" s="3" t="s">
        <v>16</v>
      </c>
      <c r="E8" s="3" t="s">
        <v>17</v>
      </c>
      <c r="F8" s="3">
        <v>40</v>
      </c>
      <c r="G8" s="3">
        <v>45</v>
      </c>
      <c r="H8" s="3" t="s">
        <v>27</v>
      </c>
      <c r="I8" s="3">
        <f t="shared" si="0"/>
        <v>1800</v>
      </c>
      <c r="J8" s="3">
        <f t="shared" si="1"/>
        <v>1080</v>
      </c>
      <c r="K8" s="4">
        <f t="shared" si="2"/>
        <v>720</v>
      </c>
    </row>
    <row r="9" spans="1:11" ht="22.5" customHeight="1" x14ac:dyDescent="0.25">
      <c r="A9" s="1">
        <v>108</v>
      </c>
      <c r="B9" s="2">
        <v>45415</v>
      </c>
      <c r="C9" s="3" t="s">
        <v>20</v>
      </c>
      <c r="D9" s="3" t="s">
        <v>21</v>
      </c>
      <c r="E9" s="3" t="s">
        <v>22</v>
      </c>
      <c r="F9" s="3">
        <v>150</v>
      </c>
      <c r="G9" s="3">
        <v>8.5</v>
      </c>
      <c r="H9" s="3" t="s">
        <v>23</v>
      </c>
      <c r="I9" s="3">
        <f t="shared" si="0"/>
        <v>1275</v>
      </c>
      <c r="J9" s="3">
        <f t="shared" si="1"/>
        <v>765</v>
      </c>
      <c r="K9" s="4">
        <f t="shared" si="2"/>
        <v>510</v>
      </c>
    </row>
  </sheetData>
  <dataValidations count="1">
    <dataValidation type="custom" allowBlank="1" showDropDown="1" sqref="K2:K9" xr:uid="{00000000-0002-0000-0000-000000000000}">
      <formula1>AND(ISNUMBER(K2),(NOT(OR(NOT(ISERROR(DATEVALUE(K2))), AND(ISNUMBER(K2), LEFT(CELL("format", K2))="D")))))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4"/>
  <sheetViews>
    <sheetView showGridLines="0" workbookViewId="0">
      <selection activeCell="D3" sqref="D3"/>
    </sheetView>
  </sheetViews>
  <sheetFormatPr defaultColWidth="12.6640625" defaultRowHeight="15.75" customHeight="1" x14ac:dyDescent="0.25"/>
  <cols>
    <col min="2" max="2" width="20.88671875" bestFit="1" customWidth="1"/>
  </cols>
  <sheetData>
    <row r="1" spans="1:2" x14ac:dyDescent="0.25">
      <c r="A1" s="10" t="s">
        <v>4</v>
      </c>
      <c r="B1" s="11" t="s">
        <v>28</v>
      </c>
    </row>
    <row r="2" spans="1:2" x14ac:dyDescent="0.25">
      <c r="A2" s="12" t="s">
        <v>13</v>
      </c>
      <c r="B2" s="13">
        <v>384</v>
      </c>
    </row>
    <row r="3" spans="1:2" x14ac:dyDescent="0.25">
      <c r="A3" s="12" t="s">
        <v>22</v>
      </c>
      <c r="B3" s="13">
        <v>850</v>
      </c>
    </row>
    <row r="4" spans="1:2" x14ac:dyDescent="0.25">
      <c r="A4" s="12" t="s">
        <v>17</v>
      </c>
      <c r="B4" s="13">
        <v>1896</v>
      </c>
    </row>
    <row r="5" spans="1:2" x14ac:dyDescent="0.25">
      <c r="A5" s="11" t="s">
        <v>29</v>
      </c>
      <c r="B5" s="14">
        <v>3130</v>
      </c>
    </row>
    <row r="8" spans="1:2" x14ac:dyDescent="0.25">
      <c r="A8" s="10" t="s">
        <v>7</v>
      </c>
      <c r="B8" s="11" t="s">
        <v>30</v>
      </c>
    </row>
    <row r="9" spans="1:2" x14ac:dyDescent="0.25">
      <c r="A9" s="12" t="s">
        <v>14</v>
      </c>
      <c r="B9" s="13">
        <v>2640</v>
      </c>
    </row>
    <row r="10" spans="1:2" x14ac:dyDescent="0.25">
      <c r="A10" s="12" t="s">
        <v>23</v>
      </c>
      <c r="B10" s="13">
        <v>2125</v>
      </c>
    </row>
    <row r="11" spans="1:2" x14ac:dyDescent="0.25">
      <c r="A11" s="12" t="s">
        <v>27</v>
      </c>
      <c r="B11" s="13">
        <v>1800</v>
      </c>
    </row>
    <row r="12" spans="1:2" x14ac:dyDescent="0.25">
      <c r="A12" s="12" t="s">
        <v>18</v>
      </c>
      <c r="B12" s="13">
        <v>1260</v>
      </c>
    </row>
    <row r="13" spans="1:2" x14ac:dyDescent="0.25">
      <c r="A13" s="12" t="s">
        <v>31</v>
      </c>
      <c r="B13" s="13"/>
    </row>
    <row r="14" spans="1:2" x14ac:dyDescent="0.25">
      <c r="A14" s="11" t="s">
        <v>29</v>
      </c>
      <c r="B14" s="14">
        <v>7825</v>
      </c>
    </row>
  </sheetData>
  <customSheetViews>
    <customSheetView guid="{95DFCAEE-27C9-4C3E-AC76-45E23CF1B9D7}" filter="1" showAutoFilter="1">
      <pageMargins left="0.7" right="0.7" top="0.75" bottom="0.75" header="0.3" footer="0.3"/>
      <autoFilter ref="A8:B14" xr:uid="{C63652B1-C225-4FB3-85A4-4903DEB6D1DF}"/>
    </customSheetView>
  </customSheetView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4"/>
  <sheetViews>
    <sheetView showGridLines="0" workbookViewId="0">
      <selection activeCell="P1" sqref="P1"/>
    </sheetView>
  </sheetViews>
  <sheetFormatPr defaultColWidth="12.6640625" defaultRowHeight="15.75" customHeight="1" x14ac:dyDescent="0.25"/>
  <sheetData>
    <row r="1" spans="1:10" ht="13.2" x14ac:dyDescent="0.25">
      <c r="A1" s="5" t="s">
        <v>33</v>
      </c>
      <c r="B1" s="6"/>
      <c r="C1" s="6"/>
      <c r="D1" s="6"/>
      <c r="E1" s="6"/>
      <c r="F1" s="6"/>
      <c r="G1" s="6"/>
      <c r="H1" s="6"/>
      <c r="I1" s="6"/>
      <c r="J1" s="6"/>
    </row>
    <row r="2" spans="1:10" ht="15.7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</row>
    <row r="4" spans="1:10" ht="15.75" customHeight="1" x14ac:dyDescent="0.25">
      <c r="I4" t="s">
        <v>32</v>
      </c>
    </row>
  </sheetData>
  <mergeCells count="1">
    <mergeCell ref="A1:J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Building an Excel Sales Dashboa</vt:lpstr>
      <vt:lpstr>Pivot Table 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MEETRAJSINH</dc:creator>
  <cp:lastModifiedBy>vanaarrmeetrajsinh00@outlook.com</cp:lastModifiedBy>
  <cp:lastPrinted>2026-04-14T13:59:51Z</cp:lastPrinted>
  <dcterms:modified xsi:type="dcterms:W3CDTF">2026-04-24T07:12:51Z</dcterms:modified>
</cp:coreProperties>
</file>